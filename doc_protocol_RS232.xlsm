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Software_uC\Rambo2\ESP32\Rambo2_FW_ESP32\"/>
    </mc:Choice>
  </mc:AlternateContent>
  <xr:revisionPtr revIDLastSave="0" documentId="13_ncr:1_{5D296910-C7F5-40B7-840C-EA6BEF4FE633}" xr6:coauthVersionLast="47" xr6:coauthVersionMax="47" xr10:uidLastSave="{00000000-0000-0000-0000-000000000000}"/>
  <bookViews>
    <workbookView xWindow="57480" yWindow="9390" windowWidth="29040" windowHeight="18240" activeTab="1" xr2:uid="{00000000-000D-0000-FFFF-FFFF00000000}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functionGroups builtInGroupCount="19"/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81029"/>
</workbook>
</file>

<file path=xl/calcChain.xml><?xml version="1.0" encoding="utf-8"?>
<calcChain xmlns="http://schemas.openxmlformats.org/spreadsheetml/2006/main">
  <c r="P21" i="3" l="1"/>
  <c r="O26" i="3" l="1"/>
  <c r="C27" i="3" s="1"/>
  <c r="D26" i="3" s="1"/>
  <c r="P26" i="3"/>
  <c r="J23" i="3" l="1"/>
  <c r="D33" i="3"/>
  <c r="D27" i="3"/>
  <c r="D24" i="3"/>
  <c r="D16" i="3"/>
  <c r="D14" i="3"/>
  <c r="D15" i="3" s="1"/>
  <c r="B13" i="3"/>
  <c r="B23" i="3" s="1"/>
  <c r="D4" i="3"/>
  <c r="D5" i="3" s="1"/>
  <c r="D7" i="3" s="1"/>
  <c r="D8" i="3" s="1"/>
  <c r="D9" i="3" s="1"/>
  <c r="D25" i="3" l="1"/>
  <c r="P20" i="3"/>
  <c r="R23" i="3" s="1"/>
  <c r="H24" i="3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<sst xmlns="http://schemas.openxmlformats.org/spreadsheetml/2006/main" count="459" uniqueCount="309">
  <si>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</si>
  <si>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</si>
  <si>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</si>
  <si>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</si>
  <si>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</si>
  <si>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</si>
  <si>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</si>
  <si>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</si>
  <si>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</si>
  <si>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</si>
  <si>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</si>
  <si>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</si>
  <si>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</si>
  <si>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</si>
  <si>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</si>
  <si>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</si>
  <si>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</si>
  <si>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</si>
  <si>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</si>
  <si>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</si>
  <si>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</si>
  <si>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</si>
  <si>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</si>
  <si>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</si>
  <si>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</si>
  <si>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</si>
  <si>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</si>
  <si>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</si>
  <si>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</si>
  <si>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</si>
  <si>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</si>
  <si>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</si>
  <si>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</si>
  <si>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</si>
  <si>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</si>
  <si>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</si>
  <si>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</si>
  <si>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</si>
  <si>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</si>
  <si>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</si>
  <si>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</si>
  <si>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</si>
  <si>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</si>
  <si>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</si>
  <si>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</si>
  <si>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</si>
  <si>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</si>
  <si>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</si>
  <si>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</si>
  <si>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</si>
  <si>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</si>
  <si>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</si>
  <si>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</si>
  <si>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</si>
  <si>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</si>
  <si>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</si>
  <si>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</si>
  <si>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</si>
  <si>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</si>
  <si>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</si>
  <si>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</si>
  <si>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</si>
  <si>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</si>
  <si>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</si>
  <si>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</si>
  <si>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</si>
  <si>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</si>
  <si>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</si>
  <si>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</si>
  <si>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</si>
  <si>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</si>
  <si>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</si>
  <si>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</si>
  <si>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</si>
  <si>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</si>
  <si>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</si>
  <si>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</si>
  <si>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</si>
  <si>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</si>
  <si>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</si>
  <si>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</si>
  <si>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</si>
  <si>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</si>
  <si>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</si>
  <si>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</si>
  <si>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</si>
  <si>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</si>
  <si>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</si>
  <si>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</si>
  <si>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</si>
  <si>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</si>
  <si>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</si>
  <si>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</si>
  <si>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</si>
  <si>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</si>
  <si>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</si>
  <si>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</si>
  <si>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</si>
  <si>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</si>
  <si>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</si>
  <si>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</si>
  <si>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</si>
  <si>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</si>
  <si>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</si>
  <si>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</si>
  <si>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</si>
  <si>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</si>
  <si>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</si>
  <si>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</si>
  <si>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</si>
  <si>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</si>
  <si>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</si>
  <si>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</si>
  <si>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</si>
  <si>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</si>
  <si>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</si>
  <si>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</si>
  <si>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</si>
  <si>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</si>
  <si>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</si>
  <si>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</si>
  <si>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</si>
  <si>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</si>
  <si>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</si>
  <si>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</si>
  <si>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</si>
  <si>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</si>
  <si>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</si>
  <si>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</si>
  <si>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</si>
  <si>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</si>
  <si>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</si>
  <si>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</si>
  <si>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</si>
  <si>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</si>
  <si>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</si>
  <si>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</si>
  <si>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</si>
  <si>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</si>
  <si>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</si>
  <si>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</si>
  <si>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</si>
  <si>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</si>
  <si>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</si>
  <si>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</si>
  <si>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</si>
  <si>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</si>
  <si>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</si>
  <si>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</si>
  <si>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</si>
  <si>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</si>
  <si>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</si>
  <si>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</si>
  <si>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</si>
  <si>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</si>
  <si>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</si>
  <si>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</si>
  <si>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</si>
  <si>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</si>
  <si>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</si>
  <si>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</si>
  <si>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</si>
  <si>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</si>
  <si>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</si>
  <si>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</si>
  <si>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</si>
  <si>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</si>
  <si>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</si>
  <si>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</si>
  <si>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</si>
  <si>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</si>
  <si>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</si>
  <si>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</si>
  <si>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</si>
  <si>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</si>
  <si>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</si>
  <si>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</si>
  <si>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</si>
  <si>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</si>
  <si>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</si>
  <si>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</si>
  <si>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</si>
  <si>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</si>
  <si>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</si>
  <si>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</si>
  <si>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</si>
  <si>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</si>
  <si>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</si>
  <si>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</si>
  <si>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</si>
  <si>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</si>
  <si>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</si>
  <si>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</si>
  <si>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</si>
  <si>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</si>
  <si>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</si>
  <si>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</si>
  <si>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</si>
  <si>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</si>
  <si>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</si>
  <si>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</si>
  <si>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</si>
  <si>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</si>
  <si>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</si>
  <si>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</si>
  <si>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</si>
  <si>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</si>
  <si>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</si>
  <si>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</si>
  <si>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</si>
  <si>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</si>
  <si>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</si>
  <si>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</si>
  <si>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</si>
  <si>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</si>
  <si>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</si>
  <si>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</si>
  <si>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</si>
  <si>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</si>
  <si>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</si>
  <si>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</si>
  <si>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</si>
  <si>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</si>
  <si>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</si>
  <si>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</si>
  <si>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</si>
  <si>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</si>
  <si>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</si>
  <si>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</si>
  <si>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</si>
  <si>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</si>
  <si>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</si>
  <si>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</si>
  <si>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</si>
  <si>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</si>
  <si>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</si>
  <si>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</si>
  <si>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</si>
  <si>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</si>
  <si>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</si>
  <si>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</si>
  <si>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</si>
  <si>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</si>
  <si>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</si>
  <si>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</si>
  <si>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</si>
  <si>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</si>
  <si>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</si>
  <si>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</si>
  <si>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</si>
  <si>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</si>
  <si>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</si>
  <si>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</si>
  <si>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</si>
  <si>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</si>
  <si>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</si>
  <si>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</si>
  <si>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</si>
  <si>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</si>
  <si>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</si>
  <si>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</si>
  <si>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</si>
  <si>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</si>
  <si>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</si>
  <si>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</si>
  <si>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</si>
  <si>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</si>
  <si>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</si>
  <si>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</si>
  <si>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</si>
  <si>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</si>
  <si>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</si>
  <si>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</si>
  <si>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</si>
  <si>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</si>
  <si>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</si>
  <si>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</si>
  <si>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</si>
  <si>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</si>
  <si>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</si>
  <si>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</si>
  <si>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</si>
  <si>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</si>
  <si>
    <t>Flag ESP32 guiFlags</t>
  </si>
  <si>
    <t>Lock-In-Amplifier</t>
  </si>
  <si>
    <t>0x40</t>
  </si>
  <si>
    <t>TransImpedance-Amplifier</t>
  </si>
  <si>
    <t>UART_LIA_DIGITAL</t>
  </si>
  <si>
    <t>UART_TIA</t>
  </si>
  <si>
    <t>0x41</t>
  </si>
  <si>
    <t>UART_LIA_SIGNAL</t>
  </si>
  <si>
    <t>0x42</t>
  </si>
  <si>
    <t>Messwert des ADC auf dem InterBoard</t>
  </si>
  <si>
    <t>bit 0..7 -&gt; Pin5, Pin10, Pin11, Pin12, Pin13, Pin14</t>
  </si>
  <si>
    <t>Byte1-&gt;Pin10..17; Byte2-&gt;Pin18..25</t>
  </si>
  <si>
    <t>0x43</t>
  </si>
  <si>
    <t>0x44</t>
  </si>
  <si>
    <t>UART_LIA_MEASURING_RANGE</t>
  </si>
  <si>
    <t>UART_LIA_FILTER_DEPTH</t>
  </si>
  <si>
    <t>Messbereich siehe unten</t>
  </si>
  <si>
    <t>0000 : FSR = ±6.144 V</t>
  </si>
  <si>
    <t>0010 : FSR = ±4.096 V</t>
  </si>
  <si>
    <t xml:space="preserve">0110 : FSR = ±1.024 V </t>
  </si>
  <si>
    <t xml:space="preserve">1000 : FSR = ±0.512 V </t>
  </si>
  <si>
    <t xml:space="preserve">1010 : FSR = ±0.256 V </t>
  </si>
  <si>
    <t xml:space="preserve">1100 : FSR = ±0.256 V </t>
  </si>
  <si>
    <t>1110 : FSR = ±0.256 V</t>
  </si>
  <si>
    <t>0100 : FSR = ±2.048 V</t>
  </si>
  <si>
    <t>Anzahl der Messwete, über die ein Mittelwert gebildet wird; Messungen alle 40ms =&gt; bei Filterdepth=25 erneuert sich der Wert einmal pro Sekunde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</si>
</sst>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19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8" fillId="0" borderId="9" xfId="0" quotePrefix="1" applyFont="1" applyBorder="1" applyAlignment="1">
      <alignment horizontal="center"/>
    </xf>
  </cellXfs>
  <cellStyles count="11">
    <cellStyle name="Hyperlink 2" xfId="2" xr:uid="{00000000-0005-0000-0000-000000000000}"/>
    <cellStyle name="Prozent 2" xfId="3" xr:uid="{00000000-0005-0000-0000-000001000000}"/>
    <cellStyle name="Standard" xfId="0" builtinId="0"/>
    <cellStyle name="Standard 2" xfId="1" xr:uid="{00000000-0005-0000-0000-000003000000}"/>
    <cellStyle name="Standard 3" xfId="4" xr:uid="{00000000-0005-0000-0000-000004000000}"/>
    <cellStyle name="Standard 3 2" xfId="5" xr:uid="{00000000-0005-0000-0000-000005000000}"/>
    <cellStyle name="Standard 3 3" xfId="6" xr:uid="{00000000-0005-0000-0000-000006000000}"/>
    <cellStyle name="Standard 3 4" xfId="7" xr:uid="{00000000-0005-0000-0000-000007000000}"/>
    <cellStyle name="Standard 3 5" xfId="8" xr:uid="{00000000-0005-0000-0000-000008000000}"/>
    <cellStyle name="Standard 4" xfId="9" xr:uid="{00000000-0005-0000-0000-000009000000}"/>
    <cellStyle name="Standard 5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I25"/>
  <sheetViews>
    <sheetView workbookViewId="0">
      <selection activeCell="D33" sqref="D33"/>
    </sheetView>
  </sheetViews>
  <sheetFormatPr baseColWidth="10" defaultRowHeight="14.5"/>
  <cols>
    <col min="1" max="1" width="20.54296875" style="7" bestFit="1" customWidth="1"/>
  </cols>
  <sheetData>
    <row r="2" spans="1:9" ht="15" thickBot="1"/>
    <row r="3" spans="1:9" ht="15" thickBot="1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>
      <c r="B5" t="s">
        <v>0</v>
      </c>
      <c r="C5" t="s">
        <v>8</v>
      </c>
      <c r="D5" t="s">
        <v>55</v>
      </c>
    </row>
    <row r="6" spans="1:9">
      <c r="C6" t="s">
        <v>9</v>
      </c>
      <c r="D6" t="s">
        <v>56</v>
      </c>
    </row>
    <row r="7" spans="1:9">
      <c r="B7" t="s">
        <v>12</v>
      </c>
      <c r="D7" t="s">
        <v>226</v>
      </c>
    </row>
    <row r="8" spans="1:9" ht="15" thickBot="1"/>
    <row r="9" spans="1:9" ht="15" thickBot="1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>
      <c r="B11" t="s">
        <v>57</v>
      </c>
    </row>
    <row r="12" spans="1:9" ht="15" thickBot="1"/>
    <row r="13" spans="1:9" ht="15" thickBot="1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>
      <c r="B15" t="s">
        <v>62</v>
      </c>
      <c r="D15" t="s">
        <v>31</v>
      </c>
    </row>
    <row r="18" spans="1:9" ht="15" thickBot="1"/>
    <row r="19" spans="1:9" ht="15" thickBot="1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>
      <c r="B21" t="s">
        <v>30</v>
      </c>
    </row>
    <row r="22" spans="1:9" ht="15" thickBot="1"/>
    <row r="23" spans="1:9" ht="15" thickBot="1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94"/>
  <sheetViews>
    <sheetView tabSelected="1" topLeftCell="A55" workbookViewId="0">
      <selection activeCell="G76" sqref="G76"/>
    </sheetView>
  </sheetViews>
  <sheetFormatPr baseColWidth="10" defaultRowHeight="14.5"/>
  <cols>
    <col min="1" max="1" width="30.54296875" bestFit="1" customWidth="1"/>
    <col min="3" max="3" width="30.1796875" style="5" bestFit="1" customWidth="1"/>
    <col min="4" max="4" width="11.1796875" style="4" customWidth="1"/>
    <col min="5" max="5" width="3.54296875" style="12" customWidth="1"/>
    <col min="6" max="6" width="12.7265625" style="4" bestFit="1" customWidth="1"/>
    <col min="7" max="7" width="12.7265625" style="10" customWidth="1"/>
    <col min="8" max="18" width="6" style="4" customWidth="1"/>
    <col min="19" max="19" width="12.453125" style="4" customWidth="1"/>
  </cols>
  <sheetData>
    <row r="1" spans="1:23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>
      <c r="A2" s="51" t="s">
        <v>283</v>
      </c>
      <c r="B2" s="34"/>
      <c r="C2" s="52" t="s">
        <v>17</v>
      </c>
      <c r="D2" s="30" t="s">
        <v>107</v>
      </c>
      <c r="E2" s="30"/>
      <c r="F2" s="30" t="s">
        <v>35</v>
      </c>
      <c r="G2" s="30" t="s">
        <v>66</v>
      </c>
      <c r="H2" s="25" t="s">
        <v>227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" thickBot="1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>
      <c r="A4" s="51"/>
      <c r="B4" s="36" t="s">
        <v>140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110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>
      <c r="A8" s="51"/>
      <c r="B8" s="37" t="s">
        <v>105</v>
      </c>
      <c r="C8" s="52" t="s">
        <v>138</v>
      </c>
      <c r="D8" s="30" t="s">
        <v>68</v>
      </c>
      <c r="E8" s="30" t="s">
        <v>104</v>
      </c>
      <c r="F8" s="32" t="s">
        <v>110</v>
      </c>
      <c r="G8" s="30">
        <v>1</v>
      </c>
      <c r="H8" s="52" t="s">
        <v>230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>
      <c r="A9" s="51"/>
      <c r="B9" s="37" t="s">
        <v>105</v>
      </c>
      <c r="C9" s="52" t="s">
        <v>147</v>
      </c>
      <c r="D9" s="30" t="s">
        <v>148</v>
      </c>
      <c r="E9" s="30" t="s">
        <v>104</v>
      </c>
      <c r="F9" s="32">
        <v>2</v>
      </c>
      <c r="G9" s="30">
        <v>25</v>
      </c>
      <c r="H9" s="52" t="s">
        <v>280</v>
      </c>
      <c r="I9" s="25"/>
      <c r="J9" s="25"/>
      <c r="K9" s="25"/>
      <c r="L9" s="25"/>
      <c r="M9" s="25"/>
      <c r="N9" s="25"/>
      <c r="O9" s="25"/>
      <c r="P9" s="25"/>
      <c r="Q9" s="25" t="s">
        <v>281</v>
      </c>
      <c r="R9" s="25"/>
      <c r="S9" s="25"/>
      <c r="T9" s="25"/>
      <c r="U9" s="25"/>
      <c r="V9" s="25"/>
      <c r="W9" s="53"/>
    </row>
    <row r="10" spans="1:23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282</v>
      </c>
      <c r="R10" s="25"/>
      <c r="S10" s="25"/>
      <c r="T10" s="25"/>
      <c r="U10" s="25"/>
      <c r="V10" s="25"/>
      <c r="W10" s="53"/>
    </row>
    <row r="11" spans="1:23">
      <c r="A11" s="57"/>
      <c r="B11" s="69" t="s">
        <v>141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>
      <c r="A14" s="51"/>
      <c r="B14" s="37" t="s">
        <v>105</v>
      </c>
      <c r="C14" s="52" t="s">
        <v>142</v>
      </c>
      <c r="D14" s="30" t="s">
        <v>143</v>
      </c>
      <c r="E14" s="30" t="s">
        <v>104</v>
      </c>
      <c r="F14" s="32">
        <v>1</v>
      </c>
      <c r="G14" s="30">
        <v>1</v>
      </c>
      <c r="H14" s="52" t="s">
        <v>144</v>
      </c>
      <c r="I14" s="25"/>
      <c r="J14" s="25"/>
      <c r="K14" s="25" t="s">
        <v>146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>
      <c r="A16" s="57"/>
      <c r="B16" s="39" t="s">
        <v>167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>
      <c r="A17" s="51"/>
      <c r="B17" s="38" t="s">
        <v>105</v>
      </c>
      <c r="C17" s="59" t="s">
        <v>161</v>
      </c>
      <c r="D17" s="33" t="s">
        <v>162</v>
      </c>
      <c r="E17" s="33" t="s">
        <v>104</v>
      </c>
      <c r="F17" s="33" t="s">
        <v>110</v>
      </c>
      <c r="G17" s="33">
        <v>2</v>
      </c>
      <c r="H17" s="59" t="s">
        <v>163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>
      <c r="A18" s="51"/>
      <c r="B18" s="38" t="s">
        <v>105</v>
      </c>
      <c r="C18" s="59" t="s">
        <v>164</v>
      </c>
      <c r="D18" s="33" t="s">
        <v>165</v>
      </c>
      <c r="E18" s="33" t="s">
        <v>104</v>
      </c>
      <c r="F18" s="33" t="s">
        <v>110</v>
      </c>
      <c r="G18" s="33">
        <v>2</v>
      </c>
      <c r="H18" s="59" t="s">
        <v>166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>
      <c r="A20" s="57"/>
      <c r="B20" s="43" t="s">
        <v>225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>
      <c r="A21" s="51"/>
      <c r="B21" s="37" t="s">
        <v>105</v>
      </c>
      <c r="C21" s="52" t="s">
        <v>172</v>
      </c>
      <c r="D21" s="30" t="s">
        <v>173</v>
      </c>
      <c r="E21" s="30" t="s">
        <v>104</v>
      </c>
      <c r="F21" s="32" t="s">
        <v>110</v>
      </c>
      <c r="G21" s="30" t="s">
        <v>175</v>
      </c>
      <c r="H21" s="52" t="s">
        <v>174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>
      <c r="A22" s="51"/>
      <c r="B22" s="37" t="s">
        <v>105</v>
      </c>
      <c r="C22" s="52" t="s">
        <v>180</v>
      </c>
      <c r="D22" s="30" t="s">
        <v>178</v>
      </c>
      <c r="E22" s="30" t="s">
        <v>104</v>
      </c>
      <c r="F22" s="32">
        <v>1</v>
      </c>
      <c r="G22" s="30" t="s">
        <v>110</v>
      </c>
      <c r="H22" s="52" t="s">
        <v>182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>
      <c r="A23" s="51"/>
      <c r="B23" s="37" t="s">
        <v>105</v>
      </c>
      <c r="C23" s="52" t="s">
        <v>179</v>
      </c>
      <c r="D23" s="30" t="s">
        <v>181</v>
      </c>
      <c r="E23" s="30" t="s">
        <v>104</v>
      </c>
      <c r="F23" s="32" t="s">
        <v>110</v>
      </c>
      <c r="G23" s="30">
        <v>31</v>
      </c>
      <c r="H23" s="52" t="s">
        <v>221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>
      <c r="A24" s="51"/>
      <c r="B24" s="37" t="s">
        <v>105</v>
      </c>
      <c r="C24" s="52" t="s">
        <v>222</v>
      </c>
      <c r="D24" s="30" t="s">
        <v>189</v>
      </c>
      <c r="E24" s="30" t="s">
        <v>104</v>
      </c>
      <c r="F24" s="32" t="s">
        <v>110</v>
      </c>
      <c r="G24" s="30">
        <v>50</v>
      </c>
      <c r="H24" s="52" t="s">
        <v>228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>
      <c r="A25" s="51"/>
      <c r="B25" s="37" t="s">
        <v>105</v>
      </c>
      <c r="C25" s="52" t="s">
        <v>223</v>
      </c>
      <c r="D25" s="30" t="s">
        <v>206</v>
      </c>
      <c r="E25" s="30" t="s">
        <v>104</v>
      </c>
      <c r="F25" s="32" t="s">
        <v>110</v>
      </c>
      <c r="G25" s="30">
        <v>20</v>
      </c>
      <c r="H25" s="52" t="s">
        <v>229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>
      <c r="A27" s="57"/>
      <c r="B27" s="39" t="s">
        <v>192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>
      <c r="A28" s="51"/>
      <c r="B28" s="37" t="s">
        <v>105</v>
      </c>
      <c r="C28" s="52" t="s">
        <v>168</v>
      </c>
      <c r="D28" s="30" t="s">
        <v>224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>
      <c r="A29" s="51"/>
      <c r="B29" s="37" t="s">
        <v>105</v>
      </c>
      <c r="C29" s="52" t="s">
        <v>184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187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>
      <c r="A30" s="51"/>
      <c r="B30" s="37" t="s">
        <v>105</v>
      </c>
      <c r="C30" s="52" t="s">
        <v>185</v>
      </c>
      <c r="D30" s="30" t="s">
        <v>183</v>
      </c>
      <c r="E30" s="30" t="s">
        <v>104</v>
      </c>
      <c r="F30" s="30">
        <v>1</v>
      </c>
      <c r="G30" s="30">
        <v>1</v>
      </c>
      <c r="H30" s="25" t="s">
        <v>188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>
      <c r="A31" s="51"/>
      <c r="B31" s="37" t="s">
        <v>105</v>
      </c>
      <c r="C31" s="52" t="s">
        <v>208</v>
      </c>
      <c r="D31" s="30" t="s">
        <v>186</v>
      </c>
      <c r="E31" s="30" t="s">
        <v>104</v>
      </c>
      <c r="F31" s="30">
        <v>1</v>
      </c>
      <c r="G31" s="30">
        <v>1</v>
      </c>
      <c r="H31" s="25" t="s">
        <v>207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>
      <c r="A32" s="51"/>
      <c r="B32" s="37" t="s">
        <v>105</v>
      </c>
      <c r="C32" s="52" t="s">
        <v>209</v>
      </c>
      <c r="D32" s="30" t="s">
        <v>212</v>
      </c>
      <c r="E32" s="30" t="s">
        <v>104</v>
      </c>
      <c r="F32" s="30">
        <v>1</v>
      </c>
      <c r="G32" s="30">
        <v>1</v>
      </c>
      <c r="H32" s="25" t="s">
        <v>215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>
      <c r="A33" s="51"/>
      <c r="B33" s="37" t="s">
        <v>105</v>
      </c>
      <c r="C33" s="52" t="s">
        <v>210</v>
      </c>
      <c r="D33" s="30" t="s">
        <v>213</v>
      </c>
      <c r="E33" s="30" t="s">
        <v>104</v>
      </c>
      <c r="F33" s="30">
        <v>1</v>
      </c>
      <c r="G33" s="30">
        <v>1</v>
      </c>
      <c r="H33" s="25" t="s">
        <v>216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>
      <c r="A34" s="51"/>
      <c r="B34" s="37" t="s">
        <v>105</v>
      </c>
      <c r="C34" s="52" t="s">
        <v>211</v>
      </c>
      <c r="D34" s="30" t="s">
        <v>214</v>
      </c>
      <c r="E34" s="30" t="s">
        <v>104</v>
      </c>
      <c r="F34" s="30">
        <v>1</v>
      </c>
      <c r="G34" s="30">
        <v>1</v>
      </c>
      <c r="H34" s="25" t="s">
        <v>217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>
      <c r="A35" s="51"/>
      <c r="B35" s="72" t="s">
        <v>105</v>
      </c>
      <c r="C35" s="73" t="s">
        <v>219</v>
      </c>
      <c r="D35" s="74" t="s">
        <v>220</v>
      </c>
      <c r="E35" s="74" t="s">
        <v>104</v>
      </c>
      <c r="F35" s="74">
        <v>1</v>
      </c>
      <c r="G35" s="74">
        <v>1</v>
      </c>
      <c r="H35" s="75" t="s">
        <v>218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>
      <c r="A37" s="51"/>
      <c r="B37" s="37" t="s">
        <v>105</v>
      </c>
      <c r="C37" s="52" t="s">
        <v>203</v>
      </c>
      <c r="D37" s="30" t="s">
        <v>204</v>
      </c>
      <c r="E37" s="30" t="s">
        <v>104</v>
      </c>
      <c r="F37" s="32" t="s">
        <v>110</v>
      </c>
      <c r="G37" s="30">
        <v>2</v>
      </c>
      <c r="H37" s="25" t="s">
        <v>205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>
      <c r="A39" s="51" t="s">
        <v>199</v>
      </c>
      <c r="B39" s="37" t="s">
        <v>105</v>
      </c>
      <c r="C39" s="52" t="s">
        <v>89</v>
      </c>
      <c r="D39" s="30" t="s">
        <v>157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>
      <c r="A40" s="51"/>
      <c r="B40" s="37"/>
      <c r="C40" s="52" t="s">
        <v>158</v>
      </c>
      <c r="D40" s="30" t="s">
        <v>158</v>
      </c>
      <c r="E40" s="30" t="s">
        <v>158</v>
      </c>
      <c r="F40" s="30" t="s">
        <v>158</v>
      </c>
      <c r="G40" s="30" t="s">
        <v>158</v>
      </c>
      <c r="H40" s="25" t="s">
        <v>158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>
      <c r="A41" s="51"/>
      <c r="B41" s="37" t="s">
        <v>105</v>
      </c>
      <c r="C41" s="52" t="s">
        <v>196</v>
      </c>
      <c r="D41" s="30" t="s">
        <v>200</v>
      </c>
      <c r="E41" s="30" t="s">
        <v>104</v>
      </c>
      <c r="F41" s="30">
        <v>2</v>
      </c>
      <c r="G41" s="30">
        <v>2</v>
      </c>
      <c r="H41" s="25" t="s">
        <v>195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>
      <c r="A43" s="51"/>
      <c r="B43" s="37" t="s">
        <v>105</v>
      </c>
      <c r="C43" s="52" t="s">
        <v>169</v>
      </c>
      <c r="D43" s="30" t="s">
        <v>201</v>
      </c>
      <c r="E43" s="30" t="s">
        <v>104</v>
      </c>
      <c r="F43" s="30">
        <v>2</v>
      </c>
      <c r="G43" s="30">
        <v>2</v>
      </c>
      <c r="H43" s="25" t="s">
        <v>139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>
      <c r="A44" s="51"/>
      <c r="B44" s="37" t="s">
        <v>105</v>
      </c>
      <c r="C44" s="52" t="s">
        <v>170</v>
      </c>
      <c r="D44" s="30" t="s">
        <v>202</v>
      </c>
      <c r="E44" s="30" t="s">
        <v>104</v>
      </c>
      <c r="F44" s="30">
        <v>2</v>
      </c>
      <c r="G44" s="30">
        <v>2</v>
      </c>
      <c r="H44" s="25" t="s">
        <v>139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>
      <c r="A45" s="51"/>
      <c r="B45" s="37" t="s">
        <v>105</v>
      </c>
      <c r="C45" s="52" t="s">
        <v>191</v>
      </c>
      <c r="D45" s="30" t="s">
        <v>194</v>
      </c>
      <c r="E45" s="30" t="s">
        <v>104</v>
      </c>
      <c r="F45" s="30">
        <v>2</v>
      </c>
      <c r="G45" s="30">
        <v>2</v>
      </c>
      <c r="H45" s="25" t="s">
        <v>139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>
      <c r="A46" s="51"/>
      <c r="B46" s="37" t="s">
        <v>105</v>
      </c>
      <c r="C46" s="52" t="s">
        <v>190</v>
      </c>
      <c r="D46" s="30" t="s">
        <v>193</v>
      </c>
      <c r="E46" s="30" t="s">
        <v>104</v>
      </c>
      <c r="F46" s="30">
        <v>2</v>
      </c>
      <c r="G46" s="30">
        <v>2</v>
      </c>
      <c r="H46" s="25" t="s">
        <v>139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>
      <c r="A48" s="51"/>
      <c r="B48" s="37" t="s">
        <v>105</v>
      </c>
      <c r="C48" s="52" t="s">
        <v>274</v>
      </c>
      <c r="D48" s="30" t="s">
        <v>276</v>
      </c>
      <c r="E48" s="30" t="s">
        <v>104</v>
      </c>
      <c r="F48" s="30">
        <v>2</v>
      </c>
      <c r="G48" s="30">
        <v>2</v>
      </c>
      <c r="H48" s="25" t="s">
        <v>278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>
      <c r="A49" s="51"/>
      <c r="B49" s="37" t="s">
        <v>105</v>
      </c>
      <c r="C49" s="52" t="s">
        <v>275</v>
      </c>
      <c r="D49" s="30" t="s">
        <v>277</v>
      </c>
      <c r="E49" s="30" t="s">
        <v>104</v>
      </c>
      <c r="F49" s="30">
        <v>2</v>
      </c>
      <c r="G49" s="30">
        <v>2</v>
      </c>
      <c r="H49" s="25" t="s">
        <v>279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>
      <c r="A51" s="51"/>
      <c r="B51" s="37" t="s">
        <v>105</v>
      </c>
      <c r="C51" s="52" t="s">
        <v>91</v>
      </c>
      <c r="D51" s="30" t="s">
        <v>159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>
      <c r="A52" s="51"/>
      <c r="B52" s="37"/>
      <c r="C52" s="52" t="s">
        <v>158</v>
      </c>
      <c r="D52" s="30" t="s">
        <v>158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>
      <c r="A53" s="51"/>
      <c r="B53" s="37" t="s">
        <v>105</v>
      </c>
      <c r="C53" s="52" t="s">
        <v>197</v>
      </c>
      <c r="D53" s="30" t="s">
        <v>198</v>
      </c>
      <c r="E53" s="30" t="s">
        <v>104</v>
      </c>
      <c r="F53" s="30">
        <v>1</v>
      </c>
      <c r="G53" s="30">
        <v>1</v>
      </c>
      <c r="H53" s="25" t="s">
        <v>160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110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110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110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>
      <c r="A62" s="57"/>
      <c r="B62" s="39" t="s">
        <v>149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>
      <c r="A63" s="61" t="s">
        <v>150</v>
      </c>
      <c r="B63" s="38" t="s">
        <v>105</v>
      </c>
      <c r="C63" s="59" t="s">
        <v>154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>
      <c r="A64" s="61" t="s">
        <v>152</v>
      </c>
      <c r="B64" s="38" t="s">
        <v>105</v>
      </c>
      <c r="C64" s="59" t="s">
        <v>155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" thickBot="1">
      <c r="A65" s="63" t="s">
        <v>153</v>
      </c>
      <c r="B65" s="64" t="s">
        <v>105</v>
      </c>
      <c r="C65" s="65" t="s">
        <v>156</v>
      </c>
      <c r="D65" s="66" t="s">
        <v>151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s="26" customFormat="1">
      <c r="A66" s="57"/>
      <c r="B66" s="39" t="s">
        <v>284</v>
      </c>
      <c r="C66" s="40"/>
      <c r="D66" s="41"/>
      <c r="E66" s="41"/>
      <c r="F66" s="41"/>
      <c r="G66" s="41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58"/>
    </row>
    <row r="67" spans="1:23" s="26" customFormat="1">
      <c r="A67" s="61"/>
      <c r="B67" s="38" t="s">
        <v>105</v>
      </c>
      <c r="C67" s="59" t="s">
        <v>287</v>
      </c>
      <c r="D67" s="33" t="s">
        <v>289</v>
      </c>
      <c r="E67" s="33" t="s">
        <v>104</v>
      </c>
      <c r="F67" s="33">
        <v>2</v>
      </c>
      <c r="G67" s="33">
        <v>2</v>
      </c>
      <c r="H67" s="60" t="s">
        <v>294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2"/>
    </row>
    <row r="68" spans="1:23" s="26" customFormat="1">
      <c r="A68" s="61"/>
      <c r="B68" s="38" t="s">
        <v>105</v>
      </c>
      <c r="C68" s="59" t="s">
        <v>290</v>
      </c>
      <c r="D68" s="33" t="s">
        <v>291</v>
      </c>
      <c r="E68" s="33" t="s">
        <v>104</v>
      </c>
      <c r="F68" s="94">
        <v>0</v>
      </c>
      <c r="G68" s="33">
        <v>4</v>
      </c>
      <c r="H68" s="60" t="s">
        <v>292</v>
      </c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2"/>
    </row>
    <row r="69" spans="1:23" s="26" customFormat="1">
      <c r="A69" s="61"/>
      <c r="B69" s="38" t="s">
        <v>105</v>
      </c>
      <c r="C69" s="59" t="s">
        <v>297</v>
      </c>
      <c r="D69" s="33" t="s">
        <v>295</v>
      </c>
      <c r="E69" s="33" t="s">
        <v>104</v>
      </c>
      <c r="F69" s="94">
        <v>1</v>
      </c>
      <c r="G69" s="33">
        <v>1</v>
      </c>
      <c r="H69" s="60" t="s">
        <v>299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2"/>
    </row>
    <row r="70" spans="1:23" s="26" customFormat="1">
      <c r="A70" s="61"/>
      <c r="B70" s="38" t="s">
        <v>105</v>
      </c>
      <c r="C70" s="59" t="s">
        <v>298</v>
      </c>
      <c r="D70" s="33" t="s">
        <v>296</v>
      </c>
      <c r="E70" s="33" t="s">
        <v>104</v>
      </c>
      <c r="F70" s="94">
        <v>1</v>
      </c>
      <c r="G70" s="33">
        <v>1</v>
      </c>
      <c r="H70" s="60" t="s">
        <v>308</v>
      </c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2"/>
    </row>
    <row r="71" spans="1:23" s="26" customFormat="1">
      <c r="A71" s="61"/>
      <c r="B71" s="36" t="s">
        <v>286</v>
      </c>
      <c r="C71" s="59"/>
      <c r="D71" s="33"/>
      <c r="E71" s="33"/>
      <c r="F71" s="33"/>
      <c r="G71" s="33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2"/>
    </row>
    <row r="72" spans="1:23" s="26" customFormat="1" ht="15" thickBot="1">
      <c r="A72" s="63"/>
      <c r="B72" s="64" t="s">
        <v>105</v>
      </c>
      <c r="C72" s="65" t="s">
        <v>288</v>
      </c>
      <c r="D72" s="66" t="s">
        <v>285</v>
      </c>
      <c r="E72" s="66" t="s">
        <v>104</v>
      </c>
      <c r="F72" s="66">
        <v>2</v>
      </c>
      <c r="G72" s="66">
        <v>2</v>
      </c>
      <c r="H72" s="67" t="s">
        <v>293</v>
      </c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8"/>
    </row>
    <row r="73" spans="1:23" s="26" customFormat="1">
      <c r="A73" s="60"/>
      <c r="B73" s="92"/>
      <c r="C73" s="59"/>
      <c r="D73" s="93"/>
      <c r="E73" s="93"/>
      <c r="F73" s="93"/>
      <c r="G73" s="93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</row>
    <row r="74" spans="1:23" s="26" customFormat="1">
      <c r="A74" s="60"/>
      <c r="B74" s="92"/>
      <c r="C74" s="59"/>
      <c r="D74" s="93"/>
      <c r="E74" s="93"/>
      <c r="F74" s="93"/>
      <c r="G74" s="93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</row>
    <row r="75" spans="1:23" s="26" customFormat="1">
      <c r="A75" s="60"/>
      <c r="B75" s="92"/>
      <c r="C75" s="59"/>
      <c r="D75" s="93"/>
      <c r="E75" s="93"/>
      <c r="F75" s="93"/>
      <c r="G75" s="93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</row>
    <row r="76" spans="1:23">
      <c r="D76" s="9"/>
      <c r="F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23">
      <c r="D77" s="6" t="s">
        <v>33</v>
      </c>
      <c r="E77" s="6"/>
    </row>
    <row r="78" spans="1:23">
      <c r="D78" s="5" t="s">
        <v>34</v>
      </c>
      <c r="E78" s="5"/>
    </row>
    <row r="79" spans="1:23">
      <c r="C79"/>
      <c r="O79" s="5"/>
    </row>
    <row r="80" spans="1:23">
      <c r="C80"/>
      <c r="D80" s="11" t="s">
        <v>44</v>
      </c>
      <c r="E80" t="s">
        <v>105</v>
      </c>
      <c r="F80" s="5" t="s">
        <v>171</v>
      </c>
      <c r="G80" s="4"/>
      <c r="K80">
        <v>0</v>
      </c>
      <c r="O80" s="5"/>
    </row>
    <row r="81" spans="2:19">
      <c r="C81"/>
      <c r="E81" t="s">
        <v>105</v>
      </c>
      <c r="F81" s="5" t="s">
        <v>109</v>
      </c>
      <c r="G81" s="4"/>
      <c r="K81">
        <v>4</v>
      </c>
    </row>
    <row r="82" spans="2:19">
      <c r="C82"/>
      <c r="E82" t="s">
        <v>105</v>
      </c>
      <c r="F82" s="8" t="s">
        <v>108</v>
      </c>
      <c r="G82" s="4"/>
      <c r="K82">
        <v>7</v>
      </c>
    </row>
    <row r="83" spans="2:19">
      <c r="C83"/>
      <c r="E83"/>
      <c r="H83" s="8"/>
    </row>
    <row r="85" spans="2:19">
      <c r="C85"/>
      <c r="H85" s="8"/>
    </row>
    <row r="86" spans="2:19">
      <c r="B86" s="59" t="s">
        <v>297</v>
      </c>
      <c r="C86"/>
      <c r="H86" s="8"/>
      <c r="S86" s="5"/>
    </row>
    <row r="87" spans="2:19">
      <c r="C87" t="s">
        <v>300</v>
      </c>
    </row>
    <row r="88" spans="2:19">
      <c r="C88" t="s">
        <v>301</v>
      </c>
      <c r="S88" s="5"/>
    </row>
    <row r="89" spans="2:19">
      <c r="C89" t="s">
        <v>307</v>
      </c>
      <c r="S89" s="5"/>
    </row>
    <row r="90" spans="2:19">
      <c r="C90" t="s">
        <v>302</v>
      </c>
      <c r="S90" s="5"/>
    </row>
    <row r="91" spans="2:19">
      <c r="C91" s="5" t="s">
        <v>303</v>
      </c>
    </row>
    <row r="92" spans="2:19">
      <c r="C92" s="5" t="s">
        <v>304</v>
      </c>
    </row>
    <row r="93" spans="2:19">
      <c r="C93" s="5" t="s">
        <v>305</v>
      </c>
    </row>
    <row r="94" spans="2:19">
      <c r="C94" s="5" t="s">
        <v>306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R34"/>
  <sheetViews>
    <sheetView workbookViewId="0">
      <selection activeCell="D42" sqref="D42"/>
    </sheetView>
  </sheetViews>
  <sheetFormatPr baseColWidth="10" defaultRowHeight="14.5"/>
  <cols>
    <col min="2" max="2" width="20.7265625" bestFit="1" customWidth="1"/>
    <col min="7" max="7" width="13.453125" bestFit="1" customWidth="1"/>
    <col min="14" max="14" width="21.453125" bestFit="1" customWidth="1"/>
  </cols>
  <sheetData>
    <row r="2" spans="1:5">
      <c r="A2" t="s">
        <v>114</v>
      </c>
    </row>
    <row r="3" spans="1:5">
      <c r="B3" t="s">
        <v>116</v>
      </c>
      <c r="D3" s="14">
        <v>16</v>
      </c>
      <c r="E3" t="s">
        <v>111</v>
      </c>
    </row>
    <row r="4" spans="1:5">
      <c r="B4" t="s">
        <v>117</v>
      </c>
      <c r="C4" s="19" t="s">
        <v>115</v>
      </c>
      <c r="D4" s="15">
        <f>HEX2DEC(C4)</f>
        <v>12</v>
      </c>
    </row>
    <row r="5" spans="1:5">
      <c r="B5" s="13" t="s">
        <v>118</v>
      </c>
      <c r="D5" s="18">
        <f>D3/(2*D4)</f>
        <v>0.66666666666666663</v>
      </c>
      <c r="E5" t="s">
        <v>111</v>
      </c>
    </row>
    <row r="6" spans="1:5">
      <c r="B6" t="s">
        <v>119</v>
      </c>
      <c r="D6" s="14">
        <v>256</v>
      </c>
    </row>
    <row r="7" spans="1:5">
      <c r="B7" t="s">
        <v>120</v>
      </c>
      <c r="D7" s="17">
        <f>D5/D6</f>
        <v>2.6041666666666665E-3</v>
      </c>
      <c r="E7" t="s">
        <v>111</v>
      </c>
    </row>
    <row r="8" spans="1:5">
      <c r="B8" t="s">
        <v>120</v>
      </c>
      <c r="D8" s="16">
        <f>D7*1000</f>
        <v>2.6041666666666665</v>
      </c>
      <c r="E8" t="s">
        <v>112</v>
      </c>
    </row>
    <row r="9" spans="1:5">
      <c r="B9" t="s">
        <v>121</v>
      </c>
      <c r="D9" s="15">
        <f>1/D8</f>
        <v>0.38400000000000001</v>
      </c>
      <c r="E9" t="s">
        <v>113</v>
      </c>
    </row>
    <row r="12" spans="1:5">
      <c r="A12" t="s">
        <v>122</v>
      </c>
    </row>
    <row r="13" spans="1:5">
      <c r="B13" t="str">
        <f>B3</f>
        <v>Taktfrequenz STM8</v>
      </c>
      <c r="D13" s="14">
        <v>16</v>
      </c>
    </row>
    <row r="14" spans="1:5">
      <c r="B14" t="s">
        <v>123</v>
      </c>
      <c r="C14" s="19">
        <v>6</v>
      </c>
      <c r="D14" s="15">
        <f>HEX2DEC(C14)</f>
        <v>6</v>
      </c>
    </row>
    <row r="15" spans="1:5">
      <c r="B15" s="13" t="s">
        <v>124</v>
      </c>
      <c r="D15" s="18">
        <f>D13/(POWER(2,D14))</f>
        <v>0.25</v>
      </c>
      <c r="E15" t="s">
        <v>111</v>
      </c>
    </row>
    <row r="16" spans="1:5">
      <c r="B16" t="s">
        <v>119</v>
      </c>
      <c r="D16" s="14">
        <f>256*256</f>
        <v>65536</v>
      </c>
    </row>
    <row r="17" spans="1:18">
      <c r="B17" t="s">
        <v>120</v>
      </c>
      <c r="D17" s="17">
        <f>D15/D16</f>
        <v>3.814697265625E-6</v>
      </c>
      <c r="E17" t="s">
        <v>111</v>
      </c>
    </row>
    <row r="18" spans="1:18">
      <c r="B18" t="s">
        <v>120</v>
      </c>
      <c r="D18" s="16">
        <f>D17*1000</f>
        <v>3.814697265625E-3</v>
      </c>
      <c r="E18" t="s">
        <v>112</v>
      </c>
    </row>
    <row r="19" spans="1:18">
      <c r="B19" t="s">
        <v>120</v>
      </c>
      <c r="D19" s="16">
        <f>D18*1000</f>
        <v>3.814697265625</v>
      </c>
      <c r="E19" t="s">
        <v>125</v>
      </c>
    </row>
    <row r="20" spans="1:18">
      <c r="B20" t="s">
        <v>121</v>
      </c>
      <c r="D20" s="20">
        <f>1/D18</f>
        <v>262.14400000000001</v>
      </c>
      <c r="E20" t="s">
        <v>113</v>
      </c>
      <c r="P20" s="27">
        <f>POWER(2,D24)</f>
        <v>128</v>
      </c>
    </row>
    <row r="21" spans="1:18">
      <c r="P21">
        <f>POWER(2,P23)</f>
        <v>2</v>
      </c>
    </row>
    <row r="22" spans="1:18">
      <c r="A22" t="s">
        <v>231</v>
      </c>
    </row>
    <row r="23" spans="1:18">
      <c r="B23" t="str">
        <f>B13</f>
        <v>Taktfrequenz STM8</v>
      </c>
      <c r="D23" s="14">
        <v>16</v>
      </c>
      <c r="G23" t="s">
        <v>131</v>
      </c>
      <c r="H23" s="14">
        <v>1000</v>
      </c>
      <c r="I23" t="s">
        <v>125</v>
      </c>
      <c r="J23" s="17">
        <f>H23/1000000</f>
        <v>1E-3</v>
      </c>
      <c r="K23" t="s">
        <v>111</v>
      </c>
      <c r="N23" s="71" t="s">
        <v>233</v>
      </c>
      <c r="O23">
        <v>62500</v>
      </c>
      <c r="P23">
        <v>1</v>
      </c>
      <c r="Q23" t="s">
        <v>237</v>
      </c>
      <c r="R23">
        <f>62500*P20/P21</f>
        <v>4000000</v>
      </c>
    </row>
    <row r="24" spans="1:18">
      <c r="B24" t="s">
        <v>232</v>
      </c>
      <c r="C24" s="19">
        <v>7</v>
      </c>
      <c r="D24" s="15">
        <f>HEX2DEC(C24)</f>
        <v>7</v>
      </c>
      <c r="G24" t="s">
        <v>132</v>
      </c>
      <c r="H24" s="20">
        <f>D25/J23</f>
        <v>125</v>
      </c>
      <c r="N24" s="71" t="s">
        <v>236</v>
      </c>
      <c r="O24" s="27">
        <v>-3</v>
      </c>
      <c r="P24" s="27"/>
    </row>
    <row r="25" spans="1:18">
      <c r="B25" s="13" t="s">
        <v>124</v>
      </c>
      <c r="D25" s="18">
        <f>D23/(POWER(2,D24))</f>
        <v>0.125</v>
      </c>
      <c r="E25" t="s">
        <v>111</v>
      </c>
      <c r="G25" t="s">
        <v>133</v>
      </c>
      <c r="H25" s="20">
        <f>ROUNDDOWN(H24/256,0)</f>
        <v>0</v>
      </c>
      <c r="N25" t="s">
        <v>234</v>
      </c>
      <c r="O25">
        <v>900</v>
      </c>
      <c r="P25" t="s">
        <v>125</v>
      </c>
    </row>
    <row r="26" spans="1:18">
      <c r="B26" t="s">
        <v>126</v>
      </c>
      <c r="D26" s="21">
        <f>O26-(256*C27)</f>
        <v>66</v>
      </c>
      <c r="G26" t="s">
        <v>134</v>
      </c>
      <c r="H26" s="20">
        <f>ROUND(H24-(H25*256),0)</f>
        <v>125</v>
      </c>
      <c r="N26" t="s">
        <v>235</v>
      </c>
      <c r="O26">
        <f>ROUND(O23/O25,0)+O24</f>
        <v>66</v>
      </c>
      <c r="P26" s="12" t="str">
        <f>DEC2HEX(O26)</f>
        <v>42</v>
      </c>
    </row>
    <row r="27" spans="1:18">
      <c r="B27" t="s">
        <v>127</v>
      </c>
      <c r="C27" s="19">
        <f>ROUNDDOWN(O26/256,0)</f>
        <v>0</v>
      </c>
      <c r="D27" s="15">
        <f>C27*256+(D26+1)</f>
        <v>67</v>
      </c>
    </row>
    <row r="28" spans="1:18">
      <c r="B28" t="s">
        <v>120</v>
      </c>
      <c r="D28" s="17">
        <f>D25/D27</f>
        <v>1.8656716417910447E-3</v>
      </c>
      <c r="E28" t="s">
        <v>111</v>
      </c>
      <c r="G28" t="s">
        <v>130</v>
      </c>
      <c r="H28" s="23">
        <v>0.5</v>
      </c>
    </row>
    <row r="29" spans="1:18">
      <c r="B29" t="s">
        <v>120</v>
      </c>
      <c r="D29" s="16">
        <f>D28*1000</f>
        <v>1.8656716417910448</v>
      </c>
      <c r="E29" t="s">
        <v>112</v>
      </c>
      <c r="G29" t="s">
        <v>135</v>
      </c>
      <c r="H29" s="15">
        <f>H24*H28</f>
        <v>62.5</v>
      </c>
      <c r="K29" s="14"/>
    </row>
    <row r="30" spans="1:18">
      <c r="B30" t="s">
        <v>120</v>
      </c>
      <c r="D30" s="16">
        <f>D29*1000</f>
        <v>1865.6716417910447</v>
      </c>
      <c r="E30" t="s">
        <v>125</v>
      </c>
      <c r="G30" t="s">
        <v>136</v>
      </c>
      <c r="H30" s="20">
        <f>ROUNDDOWN(H29/256,0)</f>
        <v>0</v>
      </c>
    </row>
    <row r="31" spans="1:18">
      <c r="G31" t="s">
        <v>137</v>
      </c>
      <c r="H31" s="20">
        <f>ROUND(H29-(H30*256),0)</f>
        <v>63</v>
      </c>
    </row>
    <row r="32" spans="1:18">
      <c r="B32" t="s">
        <v>128</v>
      </c>
      <c r="D32" s="21">
        <v>196</v>
      </c>
    </row>
    <row r="33" spans="2:4">
      <c r="B33" t="s">
        <v>129</v>
      </c>
      <c r="C33" s="19">
        <v>9</v>
      </c>
      <c r="D33" s="15">
        <f>C33*256+(D32+1)</f>
        <v>2501</v>
      </c>
    </row>
    <row r="34" spans="2:4">
      <c r="B34" t="s">
        <v>130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B2:B3"/>
  <sheetViews>
    <sheetView workbookViewId="0">
      <selection activeCell="B4" sqref="B4"/>
    </sheetView>
  </sheetViews>
  <sheetFormatPr baseColWidth="10" defaultRowHeight="14.5"/>
  <sheetData>
    <row r="2" spans="2:2">
      <c r="B2" t="s">
        <v>176</v>
      </c>
    </row>
    <row r="3" spans="2:2">
      <c r="B3" t="s">
        <v>177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34"/>
  <sheetViews>
    <sheetView workbookViewId="0">
      <selection activeCell="G9" sqref="G9"/>
    </sheetView>
  </sheetViews>
  <sheetFormatPr baseColWidth="10" defaultRowHeight="14.5"/>
  <sheetData>
    <row r="1" spans="1:15" ht="28.5">
      <c r="A1" s="79" t="s">
        <v>238</v>
      </c>
      <c r="B1" s="78"/>
      <c r="C1" s="78"/>
    </row>
    <row r="2" spans="1:15">
      <c r="A2" s="78"/>
      <c r="B2" s="76" t="s">
        <v>239</v>
      </c>
      <c r="C2" s="78" t="s">
        <v>78</v>
      </c>
    </row>
    <row r="3" spans="1:15">
      <c r="A3" s="78"/>
      <c r="B3" s="76" t="s">
        <v>240</v>
      </c>
      <c r="C3" s="78" t="s">
        <v>241</v>
      </c>
    </row>
    <row r="4" spans="1:15">
      <c r="A4" s="78"/>
      <c r="B4" s="76" t="s">
        <v>242</v>
      </c>
      <c r="C4" s="78" t="s">
        <v>168</v>
      </c>
    </row>
    <row r="5" spans="1:15">
      <c r="B5" s="82" t="s">
        <v>243</v>
      </c>
      <c r="C5" s="81" t="s">
        <v>270</v>
      </c>
      <c r="D5" s="81"/>
    </row>
    <row r="6" spans="1:15">
      <c r="B6" s="82"/>
      <c r="C6" s="81"/>
      <c r="D6" s="81" t="s">
        <v>244</v>
      </c>
    </row>
    <row r="7" spans="1:15">
      <c r="B7" s="76"/>
    </row>
    <row r="8" spans="1:15">
      <c r="B8" s="76"/>
    </row>
    <row r="9" spans="1:15" ht="28.5">
      <c r="A9" s="89" t="s">
        <v>247</v>
      </c>
      <c r="B9" s="77"/>
    </row>
    <row r="10" spans="1:15">
      <c r="B10" s="80" t="s">
        <v>245</v>
      </c>
    </row>
    <row r="11" spans="1:15">
      <c r="B11" s="71" t="s">
        <v>246</v>
      </c>
      <c r="G11" s="88" t="s">
        <v>251</v>
      </c>
    </row>
    <row r="12" spans="1:15">
      <c r="B12" s="83"/>
      <c r="C12" s="85"/>
      <c r="D12" s="85"/>
      <c r="E12" s="85"/>
      <c r="F12" s="85"/>
      <c r="G12" s="85"/>
      <c r="H12" s="85"/>
      <c r="I12" s="85"/>
      <c r="J12" s="85" t="s">
        <v>252</v>
      </c>
      <c r="K12" s="85"/>
      <c r="L12" s="85"/>
      <c r="M12" s="85"/>
      <c r="N12" s="85"/>
      <c r="O12" s="85"/>
    </row>
    <row r="13" spans="1:15">
      <c r="B13" s="87" t="s">
        <v>248</v>
      </c>
    </row>
    <row r="14" spans="1:15">
      <c r="B14" s="86" t="s">
        <v>249</v>
      </c>
      <c r="G14" s="88" t="s">
        <v>253</v>
      </c>
    </row>
    <row r="15" spans="1:15">
      <c r="B15" s="83"/>
      <c r="C15" s="85"/>
      <c r="D15" s="85"/>
      <c r="E15" s="85"/>
      <c r="F15" s="85"/>
      <c r="G15" s="85"/>
      <c r="H15" s="85"/>
      <c r="I15" s="85"/>
      <c r="J15" s="85" t="s">
        <v>252</v>
      </c>
      <c r="K15" s="85"/>
      <c r="L15" s="85"/>
      <c r="M15" s="85"/>
      <c r="N15" s="85"/>
      <c r="O15" s="85"/>
    </row>
    <row r="16" spans="1:15">
      <c r="B16" s="87" t="s">
        <v>272</v>
      </c>
    </row>
    <row r="17" spans="1:15">
      <c r="B17" s="86" t="s">
        <v>250</v>
      </c>
      <c r="G17" s="88" t="s">
        <v>273</v>
      </c>
    </row>
    <row r="18" spans="1:15">
      <c r="B18" s="85"/>
      <c r="C18" s="85"/>
      <c r="D18" s="85"/>
      <c r="E18" s="85"/>
      <c r="F18" s="85"/>
      <c r="G18" s="85"/>
      <c r="H18" s="85"/>
      <c r="I18" s="85"/>
      <c r="J18" s="85" t="s">
        <v>254</v>
      </c>
      <c r="K18" s="85"/>
      <c r="L18" s="85"/>
      <c r="M18" s="85"/>
      <c r="N18" s="85"/>
      <c r="O18" s="85"/>
    </row>
    <row r="20" spans="1:15" s="84" customFormat="1" ht="28.5">
      <c r="A20" s="89" t="s">
        <v>271</v>
      </c>
    </row>
    <row r="21" spans="1:15">
      <c r="B21" t="s">
        <v>255</v>
      </c>
    </row>
    <row r="22" spans="1:15">
      <c r="D22" t="s">
        <v>256</v>
      </c>
    </row>
    <row r="23" spans="1:15">
      <c r="D23" t="s">
        <v>257</v>
      </c>
    </row>
    <row r="24" spans="1:15">
      <c r="D24" t="s">
        <v>258</v>
      </c>
    </row>
    <row r="25" spans="1:15">
      <c r="D25" t="s">
        <v>259</v>
      </c>
    </row>
    <row r="26" spans="1:15" s="84" customFormat="1"/>
    <row r="27" spans="1:15" s="84" customFormat="1">
      <c r="B27" s="85" t="s">
        <v>269</v>
      </c>
    </row>
    <row r="28" spans="1:15" s="84" customFormat="1">
      <c r="B28" s="91" t="s">
        <v>265</v>
      </c>
    </row>
    <row r="29" spans="1:15">
      <c r="B29" s="91" t="s">
        <v>266</v>
      </c>
    </row>
    <row r="30" spans="1:15" s="84" customFormat="1">
      <c r="B30" s="91" t="s">
        <v>267</v>
      </c>
    </row>
    <row r="31" spans="1:15">
      <c r="B31" s="90" t="s">
        <v>268</v>
      </c>
    </row>
    <row r="32" spans="1:15">
      <c r="G32" s="88" t="s">
        <v>260</v>
      </c>
    </row>
    <row r="33" spans="8:9">
      <c r="H33" t="s">
        <v>261</v>
      </c>
      <c r="I33" t="s">
        <v>262</v>
      </c>
    </row>
    <row r="34" spans="8:9">
      <c r="H34" t="s">
        <v>263</v>
      </c>
      <c r="I34" t="s">
        <v>264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Tau Phi</cp:lastModifiedBy>
  <dcterms:created xsi:type="dcterms:W3CDTF">2014-09-16T06:37:34Z</dcterms:created>
  <dcterms:modified xsi:type="dcterms:W3CDTF">2021-06-25T12:32:29Z</dcterms:modified>
</cp:coreProperties>
</file>